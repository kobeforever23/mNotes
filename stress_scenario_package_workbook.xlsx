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Fact_Base" sheetId="3" state="visible" r:id="rId3"/>
    <sheet xmlns:r="http://schemas.openxmlformats.org/officeDocument/2006/relationships" name="Shock_Library" sheetId="4" state="visible" r:id="rId4"/>
    <sheet xmlns:r="http://schemas.openxmlformats.org/officeDocument/2006/relationships" name="Paths_12M" sheetId="5" state="visible" r:id="rId5"/>
    <sheet xmlns:r="http://schemas.openxmlformats.org/officeDocument/2006/relationships"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Stress Scenario Package Workbook</t>
        </is>
      </c>
    </row>
    <row r="2">
      <c r="A2" s="2" t="inlineStr">
        <is>
          <t>Theme: Trump affordability policy signals (credit cards, payments, housing/mortgages, Fed independence)</t>
        </is>
      </c>
    </row>
    <row r="3">
      <c r="A3" s="2" t="inlineStr">
        <is>
          <t>As of: 2026-01-14 (update inputs &amp; sources as needed)</t>
        </is>
      </c>
    </row>
    <row r="4">
      <c r="A4" s="2" t="n"/>
    </row>
    <row r="5">
      <c r="A5" s="3" t="inlineStr">
        <is>
          <t>How to use:</t>
        </is>
      </c>
    </row>
    <row r="6">
      <c r="A6" s="2" t="inlineStr">
        <is>
          <t>1) Update the 'Inputs' sheet with your latest baseline market/macro values.</t>
        </is>
      </c>
    </row>
    <row r="7">
      <c r="A7" s="2" t="inlineStr">
        <is>
          <t>2) Review the 'Fact_Base' sheet for the policy signal timeline (with sources).</t>
        </is>
      </c>
    </row>
    <row r="8">
      <c r="A8" s="2" t="inlineStr">
        <is>
          <t>3) Use 'Shock_Library' to select mild/severe deltas.</t>
        </is>
      </c>
    </row>
    <row r="9">
      <c r="A9" s="2" t="inlineStr">
        <is>
          <t>4) 'Paths_12M' provides example 12‑month paths built from the Inputs + deltas.</t>
        </is>
      </c>
    </row>
    <row r="10">
      <c r="A10" s="2" t="inlineStr">
        <is>
          <t>5) Map the shocks to your portfolio models (credit, market, liquidity, operational).</t>
        </is>
      </c>
    </row>
    <row r="11">
      <c r="A11" s="2" t="n"/>
    </row>
    <row r="12">
      <c r="A12" s="3" t="inlineStr">
        <is>
          <t>Important:</t>
        </is>
      </c>
    </row>
    <row r="13">
      <c r="A13" s="2" t="inlineStr">
        <is>
          <t>- Numbers in this workbook are scenario assumptions/templates unless explicitly labeled as sourced facts.</t>
        </is>
      </c>
    </row>
    <row r="14">
      <c r="A14" s="2" t="inlineStr">
        <is>
          <t>- Validate legal/regulatory feasibility with counsel; validate financial impacts with your own analytics.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55" customWidth="1" min="4" max="4"/>
  </cols>
  <sheetData>
    <row r="1">
      <c r="A1" s="4" t="inlineStr">
        <is>
          <t>Variable</t>
        </is>
      </c>
      <c r="B1" s="4" t="inlineStr">
        <is>
          <t>Baseline value</t>
        </is>
      </c>
      <c r="C1" s="4" t="inlineStr">
        <is>
          <t>Units</t>
        </is>
      </c>
      <c r="D1" s="4" t="inlineStr">
        <is>
          <t>Notes / update cadence</t>
        </is>
      </c>
    </row>
    <row r="2">
      <c r="A2" s="5" t="inlineStr">
        <is>
          <t>Fed funds (midpoint)</t>
        </is>
      </c>
      <c r="B2" s="5" t="n">
        <v>3.625</v>
      </c>
      <c r="C2" s="5" t="inlineStr">
        <is>
          <t>%</t>
        </is>
      </c>
      <c r="D2" s="5" t="inlineStr">
        <is>
          <t>Template; update from your market data</t>
        </is>
      </c>
    </row>
    <row r="3">
      <c r="A3" s="5" t="inlineStr">
        <is>
          <t>10Y U.S. Treasury yield</t>
        </is>
      </c>
      <c r="B3" s="5" t="n">
        <v>4</v>
      </c>
      <c r="C3" s="5" t="inlineStr">
        <is>
          <t>%</t>
        </is>
      </c>
      <c r="D3" s="5" t="inlineStr">
        <is>
          <t>Template; update daily</t>
        </is>
      </c>
    </row>
    <row r="4">
      <c r="A4" s="5" t="inlineStr">
        <is>
          <t>30Y fixed mortgage rate</t>
        </is>
      </c>
      <c r="B4" s="5" t="n">
        <v>6.05</v>
      </c>
      <c r="C4" s="5" t="inlineStr">
        <is>
          <t>%</t>
        </is>
      </c>
      <c r="D4" s="5" t="inlineStr">
        <is>
          <t>Template; update weekly</t>
        </is>
      </c>
    </row>
    <row r="5">
      <c r="A5" s="5" t="inlineStr">
        <is>
          <t>Average credit card APR (new accounts)</t>
        </is>
      </c>
      <c r="B5" s="5" t="n">
        <v>23</v>
      </c>
      <c r="C5" s="5" t="inlineStr">
        <is>
          <t>%</t>
        </is>
      </c>
      <c r="D5" s="5" t="inlineStr">
        <is>
          <t>Template; can differ by product/segment</t>
        </is>
      </c>
    </row>
    <row r="6">
      <c r="A6" s="5" t="inlineStr">
        <is>
          <t>Unemployment rate</t>
        </is>
      </c>
      <c r="B6" s="5" t="n">
        <v>4.2</v>
      </c>
      <c r="C6" s="5" t="inlineStr">
        <is>
          <t>%</t>
        </is>
      </c>
      <c r="D6" s="5" t="inlineStr">
        <is>
          <t>Template; update monthly</t>
        </is>
      </c>
    </row>
    <row r="7">
      <c r="A7" s="5" t="inlineStr">
        <is>
          <t>CPI (YoY)</t>
        </is>
      </c>
      <c r="B7" s="5" t="n">
        <v>2.7</v>
      </c>
      <c r="C7" s="5" t="inlineStr">
        <is>
          <t>%</t>
        </is>
      </c>
      <c r="D7" s="5" t="inlineStr">
        <is>
          <t>Template; update monthly</t>
        </is>
      </c>
    </row>
    <row r="8">
      <c r="A8" s="5" t="inlineStr">
        <is>
          <t>Home price growth (YoY)</t>
        </is>
      </c>
      <c r="B8" s="5" t="n">
        <v>2.2</v>
      </c>
      <c r="C8" s="5" t="inlineStr">
        <is>
          <t>%</t>
        </is>
      </c>
      <c r="D8" s="5" t="inlineStr">
        <is>
          <t>Template; FHFA HPI was ~2.2% YoY through Q3 2025; update with latest release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2" customWidth="1" min="3" max="3"/>
    <col width="34" customWidth="1" min="4" max="4"/>
    <col width="44" customWidth="1" min="5" max="5"/>
  </cols>
  <sheetData>
    <row r="1">
      <c r="A1" s="4" t="inlineStr">
        <is>
          <t>Date</t>
        </is>
      </c>
      <c r="B1" s="4" t="inlineStr">
        <is>
          <t>Signal / statement (summary)</t>
        </is>
      </c>
      <c r="C1" s="4" t="inlineStr">
        <is>
          <t>Implementation path</t>
        </is>
      </c>
      <c r="D1" s="4" t="inlineStr">
        <is>
          <t>Potential exposure mapping</t>
        </is>
      </c>
      <c r="E1" s="4" t="inlineStr">
        <is>
          <t>Primary source (URL/text)</t>
        </is>
      </c>
    </row>
    <row r="2">
      <c r="A2" s="5" t="inlineStr">
        <is>
          <t>2026-01-07</t>
        </is>
      </c>
      <c r="B2" s="5" t="inlineStr">
        <is>
          <t>Trump said administration is moving to ban large institutional investors from buying single-family homes; asked Congress to codify (steps not specified).</t>
        </is>
      </c>
      <c r="C2" s="5" t="inlineStr">
        <is>
          <t>Executive + legislation (unclear)</t>
        </is>
      </c>
      <c r="D2" s="5" t="inlineStr">
        <is>
          <t>Housing demand/price; single-family rental (SFR) landlords; homebuilder equities</t>
        </is>
      </c>
      <c r="E2" s="5" t="inlineStr">
        <is>
          <t>Reuters: Trump threatens ban on large institutional investors buying single-family homes (Jan 7, 2026)</t>
        </is>
      </c>
    </row>
    <row r="3">
      <c r="A3" s="5" t="inlineStr">
        <is>
          <t>2026-01-08</t>
        </is>
      </c>
      <c r="B3" s="5" t="inlineStr">
        <is>
          <t>Trump said he ordered purchase of $200B in mortgage-backed securities via Fannie Mae/Freddie Mac to lower mortgage rates; effect estimated modest (~10–15 bps).</t>
        </is>
      </c>
      <c r="C3" s="5" t="inlineStr">
        <is>
          <t>Agency/GSE balance sheet action under FHFA</t>
        </is>
      </c>
      <c r="D3" s="5" t="inlineStr">
        <is>
          <t>Mortgage rates, MBS spreads, refi/prepay, originations, MSR, bank IRRBB</t>
        </is>
      </c>
      <c r="E3" s="5" t="inlineStr">
        <is>
          <t>Reuters: Trump orders representatives to buy $200B mortgage bonds (Jan 8, 2026)</t>
        </is>
      </c>
    </row>
    <row r="4">
      <c r="A4" s="5" t="inlineStr">
        <is>
          <t>2026-01-09</t>
        </is>
      </c>
      <c r="B4" s="5" t="inlineStr">
        <is>
          <t>White House reportedly preparing housing affordability executive order: down payment support via 401(k)/529, investor ban elements, portable/assumable mortgages, etc. Details in flux; partial rollout expected around Davos.</t>
        </is>
      </c>
      <c r="C4" s="5" t="inlineStr">
        <is>
          <t>Executive order + potential tax/legislation</t>
        </is>
      </c>
      <c r="D4" s="5" t="inlineStr">
        <is>
          <t>Mortgage originations; retirement plan providers; fintech; housing supply policies</t>
        </is>
      </c>
      <c r="E4" s="5" t="inlineStr">
        <is>
          <t>Washington Post: draft housing affordability EO (Jan 9, 2026)</t>
        </is>
      </c>
    </row>
    <row r="5">
      <c r="A5" s="5" t="inlineStr">
        <is>
          <t>2026-01-10</t>
        </is>
      </c>
      <c r="B5" s="5" t="inlineStr">
        <is>
          <t>Trump called for a one-year 10% cap on credit card interest, starting Jan 20; no implementation details; would likely require Congress.</t>
        </is>
      </c>
      <c r="C5" s="5" t="inlineStr">
        <is>
          <t>Legislation required</t>
        </is>
      </c>
      <c r="D5" s="5" t="inlineStr">
        <is>
          <t>Card issuer NII; credit access; charge-offs; BNPL substitution; merchant sales</t>
        </is>
      </c>
      <c r="E5" s="5" t="inlineStr">
        <is>
          <t>Reuters: banks warn about 10% cap (Jan 12, 2026) / Reuters explainer (Jan 12, 2026)</t>
        </is>
      </c>
    </row>
    <row r="6">
      <c r="A6" s="5" t="inlineStr">
        <is>
          <t>2026-01-13</t>
        </is>
      </c>
      <c r="B6" s="5" t="inlineStr">
        <is>
          <t>Trump endorsed Credit Card Competition Act (CCCA) to increase routing competition and reduce swipe fees; would require large banks to offer alternative networks besides Visa/Mastercard.</t>
        </is>
      </c>
      <c r="C6" s="5" t="inlineStr">
        <is>
          <t>Legislation</t>
        </is>
      </c>
      <c r="D6" s="5" t="inlineStr">
        <is>
          <t>Payments networks; issuer economics; merchant pricing; rewards economics</t>
        </is>
      </c>
      <c r="E6" s="5" t="inlineStr">
        <is>
          <t>Bloomberg: Trump targets swipe fees via CCCA (Jan 13, 2026) / PaymentsDive (Jan 13, 2026)</t>
        </is>
      </c>
    </row>
    <row r="7">
      <c r="A7" s="5" t="inlineStr">
        <is>
          <t>2026-01-12 to 2026-01-14</t>
        </is>
      </c>
      <c r="B7" s="5" t="inlineStr">
        <is>
          <t>DOJ subpoenas / probe of Fed Chair Powell over HQ renovation; Powell calls it a pretext to influence rate-setting; global central bankers and some U.S. officials warn about Fed independence risks.</t>
        </is>
      </c>
      <c r="C7" s="5" t="inlineStr">
        <is>
          <t>Legal/political process; potential appointment risk</t>
        </is>
      </c>
      <c r="D7" s="5" t="inlineStr">
        <is>
          <t>Rates volatility; term premium; USD; risk assets; bank ALM and liquidity</t>
        </is>
      </c>
      <c r="E7" s="5" t="inlineStr">
        <is>
          <t>Reuters: Powell threatened with indictment / probe sparks pushback (Jan 12–14, 2026)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0" customWidth="1" min="4" max="4"/>
    <col width="44" customWidth="1" min="5" max="5"/>
  </cols>
  <sheetData>
    <row r="1">
      <c r="A1" s="4" t="inlineStr">
        <is>
          <t>Risk factor</t>
        </is>
      </c>
      <c r="B1" s="4" t="inlineStr">
        <is>
          <t>Mild stress delta</t>
        </is>
      </c>
      <c r="C1" s="4" t="inlineStr">
        <is>
          <t>Severe stress delta</t>
        </is>
      </c>
      <c r="D1" s="4" t="inlineStr">
        <is>
          <t>Units</t>
        </is>
      </c>
      <c r="E1" s="4" t="inlineStr">
        <is>
          <t>Notes</t>
        </is>
      </c>
    </row>
    <row r="2">
      <c r="A2" s="5" t="inlineStr">
        <is>
          <t>Credit card APR (effective)</t>
        </is>
      </c>
      <c r="B2" s="5" t="n">
        <v>-10</v>
      </c>
      <c r="C2" s="5" t="n">
        <v>-13</v>
      </c>
      <c r="D2" s="5" t="inlineStr">
        <is>
          <t>pp</t>
        </is>
      </c>
      <c r="E2" s="5" t="inlineStr">
        <is>
          <t>From ~23% to ~13% (mild) or ~10% (severe cap binding)</t>
        </is>
      </c>
    </row>
    <row r="3">
      <c r="A3" s="5" t="inlineStr">
        <is>
          <t>Card originations / credit line availability</t>
        </is>
      </c>
      <c r="B3" s="5" t="n">
        <v>-20</v>
      </c>
      <c r="C3" s="5" t="n">
        <v>-40</v>
      </c>
      <c r="D3" s="5" t="inlineStr">
        <is>
          <t>%</t>
        </is>
      </c>
      <c r="E3" s="5" t="inlineStr">
        <is>
          <t>Issuer tightening; use internal elasticity</t>
        </is>
      </c>
    </row>
    <row r="4">
      <c r="A4" s="5" t="inlineStr">
        <is>
          <t>Card charge-off rate</t>
        </is>
      </c>
      <c r="B4" s="5" t="n">
        <v>1.5</v>
      </c>
      <c r="C4" s="5" t="n">
        <v>4</v>
      </c>
      <c r="D4" s="5" t="inlineStr">
        <is>
          <t>pp</t>
        </is>
      </c>
      <c r="E4" s="5" t="inlineStr">
        <is>
          <t>Mix shift + economic slowing; calibrate to your book</t>
        </is>
      </c>
    </row>
    <row r="5">
      <c r="A5" s="5" t="inlineStr">
        <is>
          <t>Merchant interchange / swipe fee take-rate</t>
        </is>
      </c>
      <c r="B5" s="5" t="n">
        <v>-10</v>
      </c>
      <c r="C5" s="5" t="n">
        <v>-25</v>
      </c>
      <c r="D5" s="5" t="inlineStr">
        <is>
          <t>%</t>
        </is>
      </c>
      <c r="E5" s="5" t="inlineStr">
        <is>
          <t>If routing mandates/fee pressure pass-through</t>
        </is>
      </c>
    </row>
    <row r="6">
      <c r="A6" s="5" t="inlineStr">
        <is>
          <t>30Y mortgage rate</t>
        </is>
      </c>
      <c r="B6" s="5" t="n">
        <v>-0.15</v>
      </c>
      <c r="C6" s="5" t="n">
        <v>-0.25</v>
      </c>
      <c r="D6" s="5" t="inlineStr">
        <is>
          <t>pp</t>
        </is>
      </c>
      <c r="E6" s="5" t="inlineStr">
        <is>
          <t>Near-term effect of $200B MBS purchases; estimates vary</t>
        </is>
      </c>
    </row>
    <row r="7">
      <c r="A7" s="5" t="inlineStr">
        <is>
          <t>Mortgage refinance application volume</t>
        </is>
      </c>
      <c r="B7" s="5" t="n">
        <v>25</v>
      </c>
      <c r="C7" s="5" t="n">
        <v>60</v>
      </c>
      <c r="D7" s="5" t="inlineStr">
        <is>
          <t>%</t>
        </is>
      </c>
      <c r="E7" s="5" t="inlineStr">
        <is>
          <t>Refi wave sensitivity; calibrate to rate move</t>
        </is>
      </c>
    </row>
    <row r="8">
      <c r="A8" s="5" t="inlineStr">
        <is>
          <t>MBS option-adjusted spread (OAS)</t>
        </is>
      </c>
      <c r="B8" s="5" t="n">
        <v>-10</v>
      </c>
      <c r="C8" s="5" t="n">
        <v>30</v>
      </c>
      <c r="D8" s="5" t="inlineStr">
        <is>
          <t>bp</t>
        </is>
      </c>
      <c r="E8" s="5" t="inlineStr">
        <is>
          <t>Compression then widening if volatility rises</t>
        </is>
      </c>
    </row>
    <row r="9">
      <c r="A9" s="5" t="inlineStr">
        <is>
          <t>10Y U.S. Treasury yield</t>
        </is>
      </c>
      <c r="B9" s="5" t="n">
        <v>0.5</v>
      </c>
      <c r="C9" s="5" t="n">
        <v>1.5</v>
      </c>
      <c r="D9" s="5" t="inlineStr">
        <is>
          <t>pp</t>
        </is>
      </c>
      <c r="E9" s="5" t="inlineStr">
        <is>
          <t>Fed-independence/term-premium shock</t>
        </is>
      </c>
    </row>
    <row r="10">
      <c r="A10" s="5" t="inlineStr">
        <is>
          <t>Credit spreads (IG OAS)</t>
        </is>
      </c>
      <c r="B10" s="5" t="n">
        <v>80</v>
      </c>
      <c r="C10" s="5" t="n">
        <v>200</v>
      </c>
      <c r="D10" s="5" t="inlineStr">
        <is>
          <t>bp</t>
        </is>
      </c>
      <c r="E10" s="5" t="inlineStr">
        <is>
          <t>Risk-off widening</t>
        </is>
      </c>
    </row>
    <row r="11">
      <c r="A11" s="5" t="inlineStr">
        <is>
          <t>Equity market level (broad)</t>
        </is>
      </c>
      <c r="B11" s="5" t="n">
        <v>-10</v>
      </c>
      <c r="C11" s="5" t="n">
        <v>-25</v>
      </c>
      <c r="D11" s="5" t="inlineStr">
        <is>
          <t>%</t>
        </is>
      </c>
      <c r="E11" s="5" t="inlineStr">
        <is>
          <t>Risk-off selloff</t>
        </is>
      </c>
    </row>
    <row r="12">
      <c r="A12" s="5" t="inlineStr">
        <is>
          <t>Unemployment rate</t>
        </is>
      </c>
      <c r="B12" s="5" t="n">
        <v>0.7</v>
      </c>
      <c r="C12" s="5" t="n">
        <v>2.5</v>
      </c>
      <c r="D12" s="5" t="inlineStr">
        <is>
          <t>pp</t>
        </is>
      </c>
      <c r="E12" s="5" t="inlineStr">
        <is>
          <t>Macro slowdown tail</t>
        </is>
      </c>
    </row>
    <row r="13">
      <c r="A13" s="5" t="inlineStr">
        <is>
          <t>Home prices (national)</t>
        </is>
      </c>
      <c r="B13" s="5" t="n">
        <v>-2</v>
      </c>
      <c r="C13" s="5" t="n">
        <v>-8</v>
      </c>
      <c r="D13" s="5" t="inlineStr">
        <is>
          <t>%</t>
        </is>
      </c>
      <c r="E13" s="5" t="inlineStr">
        <is>
          <t>Demand shock tail; region-dependent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20" customWidth="1" min="4" max="4"/>
    <col width="16" customWidth="1" min="5" max="5"/>
    <col width="32" customWidth="1" min="6" max="6"/>
    <col width="30" customWidth="1" min="7" max="7"/>
    <col width="26" customWidth="1" min="8" max="8"/>
    <col width="30" customWidth="1" min="9" max="9"/>
  </cols>
  <sheetData>
    <row r="1">
      <c r="A1" s="4" t="inlineStr">
        <is>
          <t>Month</t>
        </is>
      </c>
      <c r="B1" s="4" t="inlineStr">
        <is>
          <t>Baseline Fed funds</t>
        </is>
      </c>
      <c r="C1" s="4" t="inlineStr">
        <is>
          <t>Baseline 10Y</t>
        </is>
      </c>
      <c r="D1" s="4" t="inlineStr">
        <is>
          <t>Baseline Mortgage 30Y</t>
        </is>
      </c>
      <c r="E1" s="4" t="inlineStr">
        <is>
          <t>Baseline Card APR</t>
        </is>
      </c>
      <c r="F1" s="4" t="inlineStr">
        <is>
          <t>Scenario 1 Card/Payments (Severe) - Card APR</t>
        </is>
      </c>
      <c r="G1" s="4" t="inlineStr">
        <is>
          <t>Scenario 2 Housing (Severe) - Mortgage 30Y</t>
        </is>
      </c>
      <c r="H1" s="4" t="inlineStr">
        <is>
          <t>Scenario 3 Fed Independence (Severe) - 10Y</t>
        </is>
      </c>
      <c r="I1" s="4" t="inlineStr">
        <is>
          <t>Scenario 3 Fed Independence (Severe) - Mortgage 30Y</t>
        </is>
      </c>
    </row>
    <row r="2">
      <c r="A2" s="6" t="inlineStr">
        <is>
          <t>M00</t>
        </is>
      </c>
      <c r="B2" s="6">
        <f>Inputs!B2</f>
        <v/>
      </c>
      <c r="C2" s="6">
        <f>Inputs!B3</f>
        <v/>
      </c>
      <c r="D2" s="6">
        <f>Inputs!B4</f>
        <v/>
      </c>
      <c r="E2" s="6">
        <f>Inputs!B5</f>
        <v/>
      </c>
      <c r="F2" s="6">
        <f>IF(ROW()-2&lt;=2, Inputs!B5 + (10-Inputs!B5)*(ROW()-2)/2, 10)</f>
        <v/>
      </c>
      <c r="G2" s="6">
        <f>IF(ROW()-2&lt;=2, Inputs!B4-0.25*(ROW()-2)/2, Inputs!B4-0.25*(1-(ROW()-4)/10))</f>
        <v/>
      </c>
      <c r="H2" s="6">
        <f>IF(ROW()-2&lt;=1, Inputs!B3+1.5*(ROW()-2), Inputs!B3+1.5-(ROW()-3)*(0.75/11))</f>
        <v/>
      </c>
      <c r="I2" s="6">
        <f>IF(ROW()-2&lt;=1, Inputs!B4+1.0*(ROW()-2), Inputs!B4+1.0-(ROW()-3)*(0.5/11))</f>
        <v/>
      </c>
    </row>
    <row r="3">
      <c r="A3" s="6" t="inlineStr">
        <is>
          <t>M01</t>
        </is>
      </c>
      <c r="B3" s="6">
        <f>Inputs!B2</f>
        <v/>
      </c>
      <c r="C3" s="6">
        <f>Inputs!B3</f>
        <v/>
      </c>
      <c r="D3" s="6">
        <f>Inputs!B4</f>
        <v/>
      </c>
      <c r="E3" s="6">
        <f>Inputs!B5</f>
        <v/>
      </c>
      <c r="F3" s="6">
        <f>IF(ROW()-2&lt;=2, Inputs!B5 + (10-Inputs!B5)*(ROW()-2)/2, 10)</f>
        <v/>
      </c>
      <c r="G3" s="6">
        <f>IF(ROW()-2&lt;=2, Inputs!B4-0.25*(ROW()-2)/2, Inputs!B4-0.25*(1-(ROW()-4)/10))</f>
        <v/>
      </c>
      <c r="H3" s="6">
        <f>IF(ROW()-2&lt;=1, Inputs!B3+1.5*(ROW()-2), Inputs!B3+1.5-(ROW()-3)*(0.75/11))</f>
        <v/>
      </c>
      <c r="I3" s="6">
        <f>IF(ROW()-2&lt;=1, Inputs!B4+1.0*(ROW()-2), Inputs!B4+1.0-(ROW()-3)*(0.5/11))</f>
        <v/>
      </c>
    </row>
    <row r="4">
      <c r="A4" s="6" t="inlineStr">
        <is>
          <t>M02</t>
        </is>
      </c>
      <c r="B4" s="6">
        <f>Inputs!B2</f>
        <v/>
      </c>
      <c r="C4" s="6">
        <f>Inputs!B3</f>
        <v/>
      </c>
      <c r="D4" s="6">
        <f>Inputs!B4</f>
        <v/>
      </c>
      <c r="E4" s="6">
        <f>Inputs!B5</f>
        <v/>
      </c>
      <c r="F4" s="6">
        <f>IF(ROW()-2&lt;=2, Inputs!B5 + (10-Inputs!B5)*(ROW()-2)/2, 10)</f>
        <v/>
      </c>
      <c r="G4" s="6">
        <f>IF(ROW()-2&lt;=2, Inputs!B4-0.25*(ROW()-2)/2, Inputs!B4-0.25*(1-(ROW()-4)/10))</f>
        <v/>
      </c>
      <c r="H4" s="6">
        <f>IF(ROW()-2&lt;=1, Inputs!B3+1.5*(ROW()-2), Inputs!B3+1.5-(ROW()-3)*(0.75/11))</f>
        <v/>
      </c>
      <c r="I4" s="6">
        <f>IF(ROW()-2&lt;=1, Inputs!B4+1.0*(ROW()-2), Inputs!B4+1.0-(ROW()-3)*(0.5/11))</f>
        <v/>
      </c>
    </row>
    <row r="5">
      <c r="A5" s="6" t="inlineStr">
        <is>
          <t>M03</t>
        </is>
      </c>
      <c r="B5" s="6">
        <f>Inputs!B2</f>
        <v/>
      </c>
      <c r="C5" s="6">
        <f>Inputs!B3</f>
        <v/>
      </c>
      <c r="D5" s="6">
        <f>Inputs!B4</f>
        <v/>
      </c>
      <c r="E5" s="6">
        <f>Inputs!B5</f>
        <v/>
      </c>
      <c r="F5" s="6">
        <f>IF(ROW()-2&lt;=2, Inputs!B5 + (10-Inputs!B5)*(ROW()-2)/2, 10)</f>
        <v/>
      </c>
      <c r="G5" s="6">
        <f>IF(ROW()-2&lt;=2, Inputs!B4-0.25*(ROW()-2)/2, Inputs!B4-0.25*(1-(ROW()-4)/10))</f>
        <v/>
      </c>
      <c r="H5" s="6">
        <f>IF(ROW()-2&lt;=1, Inputs!B3+1.5*(ROW()-2), Inputs!B3+1.5-(ROW()-3)*(0.75/11))</f>
        <v/>
      </c>
      <c r="I5" s="6">
        <f>IF(ROW()-2&lt;=1, Inputs!B4+1.0*(ROW()-2), Inputs!B4+1.0-(ROW()-3)*(0.5/11))</f>
        <v/>
      </c>
    </row>
    <row r="6">
      <c r="A6" s="6" t="inlineStr">
        <is>
          <t>M04</t>
        </is>
      </c>
      <c r="B6" s="6">
        <f>Inputs!B2</f>
        <v/>
      </c>
      <c r="C6" s="6">
        <f>Inputs!B3</f>
        <v/>
      </c>
      <c r="D6" s="6">
        <f>Inputs!B4</f>
        <v/>
      </c>
      <c r="E6" s="6">
        <f>Inputs!B5</f>
        <v/>
      </c>
      <c r="F6" s="6">
        <f>IF(ROW()-2&lt;=2, Inputs!B5 + (10-Inputs!B5)*(ROW()-2)/2, 10)</f>
        <v/>
      </c>
      <c r="G6" s="6">
        <f>IF(ROW()-2&lt;=2, Inputs!B4-0.25*(ROW()-2)/2, Inputs!B4-0.25*(1-(ROW()-4)/10))</f>
        <v/>
      </c>
      <c r="H6" s="6">
        <f>IF(ROW()-2&lt;=1, Inputs!B3+1.5*(ROW()-2), Inputs!B3+1.5-(ROW()-3)*(0.75/11))</f>
        <v/>
      </c>
      <c r="I6" s="6">
        <f>IF(ROW()-2&lt;=1, Inputs!B4+1.0*(ROW()-2), Inputs!B4+1.0-(ROW()-3)*(0.5/11))</f>
        <v/>
      </c>
    </row>
    <row r="7">
      <c r="A7" s="6" t="inlineStr">
        <is>
          <t>M05</t>
        </is>
      </c>
      <c r="B7" s="6">
        <f>Inputs!B2</f>
        <v/>
      </c>
      <c r="C7" s="6">
        <f>Inputs!B3</f>
        <v/>
      </c>
      <c r="D7" s="6">
        <f>Inputs!B4</f>
        <v/>
      </c>
      <c r="E7" s="6">
        <f>Inputs!B5</f>
        <v/>
      </c>
      <c r="F7" s="6">
        <f>IF(ROW()-2&lt;=2, Inputs!B5 + (10-Inputs!B5)*(ROW()-2)/2, 10)</f>
        <v/>
      </c>
      <c r="G7" s="6">
        <f>IF(ROW()-2&lt;=2, Inputs!B4-0.25*(ROW()-2)/2, Inputs!B4-0.25*(1-(ROW()-4)/10))</f>
        <v/>
      </c>
      <c r="H7" s="6">
        <f>IF(ROW()-2&lt;=1, Inputs!B3+1.5*(ROW()-2), Inputs!B3+1.5-(ROW()-3)*(0.75/11))</f>
        <v/>
      </c>
      <c r="I7" s="6">
        <f>IF(ROW()-2&lt;=1, Inputs!B4+1.0*(ROW()-2), Inputs!B4+1.0-(ROW()-3)*(0.5/11))</f>
        <v/>
      </c>
    </row>
    <row r="8">
      <c r="A8" s="6" t="inlineStr">
        <is>
          <t>M06</t>
        </is>
      </c>
      <c r="B8" s="6">
        <f>Inputs!B2</f>
        <v/>
      </c>
      <c r="C8" s="6">
        <f>Inputs!B3</f>
        <v/>
      </c>
      <c r="D8" s="6">
        <f>Inputs!B4</f>
        <v/>
      </c>
      <c r="E8" s="6">
        <f>Inputs!B5</f>
        <v/>
      </c>
      <c r="F8" s="6">
        <f>IF(ROW()-2&lt;=2, Inputs!B5 + (10-Inputs!B5)*(ROW()-2)/2, 10)</f>
        <v/>
      </c>
      <c r="G8" s="6">
        <f>IF(ROW()-2&lt;=2, Inputs!B4-0.25*(ROW()-2)/2, Inputs!B4-0.25*(1-(ROW()-4)/10))</f>
        <v/>
      </c>
      <c r="H8" s="6">
        <f>IF(ROW()-2&lt;=1, Inputs!B3+1.5*(ROW()-2), Inputs!B3+1.5-(ROW()-3)*(0.75/11))</f>
        <v/>
      </c>
      <c r="I8" s="6">
        <f>IF(ROW()-2&lt;=1, Inputs!B4+1.0*(ROW()-2), Inputs!B4+1.0-(ROW()-3)*(0.5/11))</f>
        <v/>
      </c>
    </row>
    <row r="9">
      <c r="A9" s="6" t="inlineStr">
        <is>
          <t>M07</t>
        </is>
      </c>
      <c r="B9" s="6">
        <f>Inputs!B2</f>
        <v/>
      </c>
      <c r="C9" s="6">
        <f>Inputs!B3</f>
        <v/>
      </c>
      <c r="D9" s="6">
        <f>Inputs!B4</f>
        <v/>
      </c>
      <c r="E9" s="6">
        <f>Inputs!B5</f>
        <v/>
      </c>
      <c r="F9" s="6">
        <f>IF(ROW()-2&lt;=2, Inputs!B5 + (10-Inputs!B5)*(ROW()-2)/2, 10)</f>
        <v/>
      </c>
      <c r="G9" s="6">
        <f>IF(ROW()-2&lt;=2, Inputs!B4-0.25*(ROW()-2)/2, Inputs!B4-0.25*(1-(ROW()-4)/10))</f>
        <v/>
      </c>
      <c r="H9" s="6">
        <f>IF(ROW()-2&lt;=1, Inputs!B3+1.5*(ROW()-2), Inputs!B3+1.5-(ROW()-3)*(0.75/11))</f>
        <v/>
      </c>
      <c r="I9" s="6">
        <f>IF(ROW()-2&lt;=1, Inputs!B4+1.0*(ROW()-2), Inputs!B4+1.0-(ROW()-3)*(0.5/11))</f>
        <v/>
      </c>
    </row>
    <row r="10">
      <c r="A10" s="6" t="inlineStr">
        <is>
          <t>M08</t>
        </is>
      </c>
      <c r="B10" s="6">
        <f>Inputs!B2</f>
        <v/>
      </c>
      <c r="C10" s="6">
        <f>Inputs!B3</f>
        <v/>
      </c>
      <c r="D10" s="6">
        <f>Inputs!B4</f>
        <v/>
      </c>
      <c r="E10" s="6">
        <f>Inputs!B5</f>
        <v/>
      </c>
      <c r="F10" s="6">
        <f>IF(ROW()-2&lt;=2, Inputs!B5 + (10-Inputs!B5)*(ROW()-2)/2, 10)</f>
        <v/>
      </c>
      <c r="G10" s="6">
        <f>IF(ROW()-2&lt;=2, Inputs!B4-0.25*(ROW()-2)/2, Inputs!B4-0.25*(1-(ROW()-4)/10))</f>
        <v/>
      </c>
      <c r="H10" s="6">
        <f>IF(ROW()-2&lt;=1, Inputs!B3+1.5*(ROW()-2), Inputs!B3+1.5-(ROW()-3)*(0.75/11))</f>
        <v/>
      </c>
      <c r="I10" s="6">
        <f>IF(ROW()-2&lt;=1, Inputs!B4+1.0*(ROW()-2), Inputs!B4+1.0-(ROW()-3)*(0.5/11))</f>
        <v/>
      </c>
    </row>
    <row r="11">
      <c r="A11" s="6" t="inlineStr">
        <is>
          <t>M09</t>
        </is>
      </c>
      <c r="B11" s="6">
        <f>Inputs!B2</f>
        <v/>
      </c>
      <c r="C11" s="6">
        <f>Inputs!B3</f>
        <v/>
      </c>
      <c r="D11" s="6">
        <f>Inputs!B4</f>
        <v/>
      </c>
      <c r="E11" s="6">
        <f>Inputs!B5</f>
        <v/>
      </c>
      <c r="F11" s="6">
        <f>IF(ROW()-2&lt;=2, Inputs!B5 + (10-Inputs!B5)*(ROW()-2)/2, 10)</f>
        <v/>
      </c>
      <c r="G11" s="6">
        <f>IF(ROW()-2&lt;=2, Inputs!B4-0.25*(ROW()-2)/2, Inputs!B4-0.25*(1-(ROW()-4)/10))</f>
        <v/>
      </c>
      <c r="H11" s="6">
        <f>IF(ROW()-2&lt;=1, Inputs!B3+1.5*(ROW()-2), Inputs!B3+1.5-(ROW()-3)*(0.75/11))</f>
        <v/>
      </c>
      <c r="I11" s="6">
        <f>IF(ROW()-2&lt;=1, Inputs!B4+1.0*(ROW()-2), Inputs!B4+1.0-(ROW()-3)*(0.5/11))</f>
        <v/>
      </c>
    </row>
    <row r="12">
      <c r="A12" s="6" t="inlineStr">
        <is>
          <t>M10</t>
        </is>
      </c>
      <c r="B12" s="6">
        <f>Inputs!B2</f>
        <v/>
      </c>
      <c r="C12" s="6">
        <f>Inputs!B3</f>
        <v/>
      </c>
      <c r="D12" s="6">
        <f>Inputs!B4</f>
        <v/>
      </c>
      <c r="E12" s="6">
        <f>Inputs!B5</f>
        <v/>
      </c>
      <c r="F12" s="6">
        <f>IF(ROW()-2&lt;=2, Inputs!B5 + (10-Inputs!B5)*(ROW()-2)/2, 10)</f>
        <v/>
      </c>
      <c r="G12" s="6">
        <f>IF(ROW()-2&lt;=2, Inputs!B4-0.25*(ROW()-2)/2, Inputs!B4-0.25*(1-(ROW()-4)/10))</f>
        <v/>
      </c>
      <c r="H12" s="6">
        <f>IF(ROW()-2&lt;=1, Inputs!B3+1.5*(ROW()-2), Inputs!B3+1.5-(ROW()-3)*(0.75/11))</f>
        <v/>
      </c>
      <c r="I12" s="6">
        <f>IF(ROW()-2&lt;=1, Inputs!B4+1.0*(ROW()-2), Inputs!B4+1.0-(ROW()-3)*(0.5/11))</f>
        <v/>
      </c>
    </row>
    <row r="13">
      <c r="A13" s="6" t="inlineStr">
        <is>
          <t>M11</t>
        </is>
      </c>
      <c r="B13" s="6">
        <f>Inputs!B2</f>
        <v/>
      </c>
      <c r="C13" s="6">
        <f>Inputs!B3</f>
        <v/>
      </c>
      <c r="D13" s="6">
        <f>Inputs!B4</f>
        <v/>
      </c>
      <c r="E13" s="6">
        <f>Inputs!B5</f>
        <v/>
      </c>
      <c r="F13" s="6">
        <f>IF(ROW()-2&lt;=2, Inputs!B5 + (10-Inputs!B5)*(ROW()-2)/2, 10)</f>
        <v/>
      </c>
      <c r="G13" s="6">
        <f>IF(ROW()-2&lt;=2, Inputs!B4-0.25*(ROW()-2)/2, Inputs!B4-0.25*(1-(ROW()-4)/10))</f>
        <v/>
      </c>
      <c r="H13" s="6">
        <f>IF(ROW()-2&lt;=1, Inputs!B3+1.5*(ROW()-2), Inputs!B3+1.5-(ROW()-3)*(0.75/11))</f>
        <v/>
      </c>
      <c r="I13" s="6">
        <f>IF(ROW()-2&lt;=1, Inputs!B4+1.0*(ROW()-2), Inputs!B4+1.0-(ROW()-3)*(0.5/11))</f>
        <v/>
      </c>
    </row>
    <row r="14">
      <c r="A14" s="6" t="inlineStr">
        <is>
          <t>M12</t>
        </is>
      </c>
      <c r="B14" s="6">
        <f>Inputs!B2</f>
        <v/>
      </c>
      <c r="C14" s="6">
        <f>Inputs!B3</f>
        <v/>
      </c>
      <c r="D14" s="6">
        <f>Inputs!B4</f>
        <v/>
      </c>
      <c r="E14" s="6">
        <f>Inputs!B5</f>
        <v/>
      </c>
      <c r="F14" s="6">
        <f>IF(ROW()-2&lt;=2, Inputs!B5 + (10-Inputs!B5)*(ROW()-2)/2, 10)</f>
        <v/>
      </c>
      <c r="G14" s="6">
        <f>IF(ROW()-2&lt;=2, Inputs!B4-0.25*(ROW()-2)/2, Inputs!B4-0.25*(1-(ROW()-4)/10))</f>
        <v/>
      </c>
      <c r="H14" s="6">
        <f>IF(ROW()-2&lt;=1, Inputs!B3+1.5*(ROW()-2), Inputs!B3+1.5-(ROW()-3)*(0.75/11))</f>
        <v/>
      </c>
      <c r="I14" s="6">
        <f>IF(ROW()-2&lt;=1, Inputs!B4+1.0*(ROW()-2), Inputs!B4+1.0-(ROW()-3)*(0.5/11))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12" customWidth="1" min="3" max="3"/>
    <col width="44" customWidth="1" min="4" max="4"/>
  </cols>
  <sheetData>
    <row r="1">
      <c r="A1" s="4" t="inlineStr">
        <is>
          <t>Topic</t>
        </is>
      </c>
      <c r="B1" s="4" t="inlineStr">
        <is>
          <t>Source</t>
        </is>
      </c>
      <c r="C1" s="4" t="inlineStr">
        <is>
          <t>Date</t>
        </is>
      </c>
      <c r="D1" s="4" t="inlineStr">
        <is>
          <t>Notes</t>
        </is>
      </c>
    </row>
    <row r="2">
      <c r="A2" s="5" t="inlineStr">
        <is>
          <t>Credit card APR cap (10%)</t>
        </is>
      </c>
      <c r="B2" s="5" t="inlineStr">
        <is>
          <t>Reuters – Banks warn consumers will be hurt by Trump's 10% cap on credit card interest rates</t>
        </is>
      </c>
      <c r="C2" s="5" t="inlineStr">
        <is>
          <t>2026-01-12</t>
        </is>
      </c>
      <c r="D2" s="5" t="inlineStr">
        <is>
          <t>Cap proposed for 1 year starting Jan 20; banks cite credit access impact; contains CFPB APR data</t>
        </is>
      </c>
    </row>
    <row r="3">
      <c r="A3" s="5" t="inlineStr">
        <is>
          <t>Credit card rate cap explainer</t>
        </is>
      </c>
      <c r="B3" s="5" t="inlineStr">
        <is>
          <t>Reuters – Explainer on how cap could reshape consumer lending</t>
        </is>
      </c>
      <c r="C3" s="5" t="inlineStr">
        <is>
          <t>2026-01-12</t>
        </is>
      </c>
      <c r="D3" s="5" t="inlineStr">
        <is>
          <t>Includes Bankrate average APR and Fed credit card balance figure</t>
        </is>
      </c>
    </row>
    <row r="4">
      <c r="A4" s="5" t="inlineStr">
        <is>
          <t>Swipe fee / routing policy</t>
        </is>
      </c>
      <c r="B4" s="5" t="inlineStr">
        <is>
          <t>Bloomberg – Trump targets card swipe fees via Credit Card Competition Act</t>
        </is>
      </c>
      <c r="C4" s="5" t="inlineStr">
        <is>
          <t>2026-01-13</t>
        </is>
      </c>
      <c r="D4" s="5" t="inlineStr">
        <is>
          <t>Endorses CCCA; aims to bypass Visa/Mastercard for large issuers</t>
        </is>
      </c>
    </row>
    <row r="5">
      <c r="A5" s="5" t="inlineStr">
        <is>
          <t>CCCA details</t>
        </is>
      </c>
      <c r="B5" s="5" t="inlineStr">
        <is>
          <t>PaymentsDive – Trump endorses Credit Card Competition Act</t>
        </is>
      </c>
      <c r="C5" s="5" t="inlineStr">
        <is>
          <t>2026-01-13</t>
        </is>
      </c>
      <c r="D5" s="5" t="inlineStr">
        <is>
          <t>Applies to issuers with $100B+ assets; routing competition</t>
        </is>
      </c>
    </row>
    <row r="6">
      <c r="A6" s="5" t="inlineStr">
        <is>
          <t>MBS purchases</t>
        </is>
      </c>
      <c r="B6" s="5" t="inlineStr">
        <is>
          <t>Reuters – Trump orders $200B mortgage bond buys</t>
        </is>
      </c>
      <c r="C6" s="5" t="inlineStr">
        <is>
          <t>2026-01-08</t>
        </is>
      </c>
      <c r="D6" s="5" t="inlineStr">
        <is>
          <t>Via Fannie/Freddie; estimated 10–15bp mortgage-rate impact</t>
        </is>
      </c>
    </row>
    <row r="7">
      <c r="A7" s="5" t="inlineStr">
        <is>
          <t>Investor ban</t>
        </is>
      </c>
      <c r="B7" s="5" t="inlineStr">
        <is>
          <t>Reuters – Trump threatens ban on institutional investors buying single-family homes</t>
        </is>
      </c>
      <c r="C7" s="5" t="inlineStr">
        <is>
          <t>2026-01-07</t>
        </is>
      </c>
      <c r="D7" s="5" t="inlineStr">
        <is>
          <t>Requests Congress to codify; market reaction</t>
        </is>
      </c>
    </row>
    <row r="8">
      <c r="A8" s="5" t="inlineStr">
        <is>
          <t>Housing EO drafting</t>
        </is>
      </c>
      <c r="B8" s="5" t="inlineStr">
        <is>
          <t>Washington Post – Draft housing affordability executive order</t>
        </is>
      </c>
      <c r="C8" s="5" t="inlineStr">
        <is>
          <t>2026-01-09</t>
        </is>
      </c>
      <c r="D8" s="5" t="inlineStr">
        <is>
          <t>Down payment support via 401(k)/529; investor ban; portable/assumable mortgages; details in flux</t>
        </is>
      </c>
    </row>
    <row r="9">
      <c r="A9" s="5" t="inlineStr">
        <is>
          <t>Fed independence probe</t>
        </is>
      </c>
      <c r="B9" s="5" t="inlineStr">
        <is>
          <t>Reuters – Powell says administration threatened indictment; probe sparks pushback</t>
        </is>
      </c>
      <c r="C9" s="5" t="inlineStr">
        <is>
          <t>2026-01-12/13</t>
        </is>
      </c>
      <c r="D9" s="5" t="inlineStr">
        <is>
          <t>Subpoenas; Powell says pretext; market implications</t>
        </is>
      </c>
    </row>
    <row r="10">
      <c r="A10" s="5" t="inlineStr">
        <is>
          <t>Fed independence reactions</t>
        </is>
      </c>
      <c r="B10" s="5" t="inlineStr">
        <is>
          <t>Reuters – Rehn warns erosion of Fed independence raises inflation; Goolsbee defends Powell</t>
        </is>
      </c>
      <c r="C10" s="5" t="inlineStr">
        <is>
          <t>2026-01-14</t>
        </is>
      </c>
      <c r="D10" s="5" t="inlineStr">
        <is>
          <t>Global central bank support; risks to stability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2026-01-14T17:45:29Z</dcterms:created>
  <dcterms:modified xmlns:dcterms="http://purl.org/dc/terms/" xmlns:xsi="http://www.w3.org/2001/XMLSchema-instance" xsi:type="dcterms:W3CDTF">2026-01-14T17:45:29Z</dcterms:modified>
</cp:coreProperties>
</file>